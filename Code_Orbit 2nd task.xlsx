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310b730ca4fc397/Desktop/"/>
    </mc:Choice>
  </mc:AlternateContent>
  <xr:revisionPtr revIDLastSave="0" documentId="8_{7A512B9E-F2E8-47BD-8BA1-0D2B1A0715A8}" xr6:coauthVersionLast="47" xr6:coauthVersionMax="47" xr10:uidLastSave="{00000000-0000-0000-0000-000000000000}"/>
  <bookViews>
    <workbookView xWindow="3936" yWindow="3360" windowWidth="17280" windowHeight="8880" firstSheet="1" activeTab="5" xr2:uid="{7EB6D431-4F8D-499F-B5C4-A8BA961DE491}"/>
  </bookViews>
  <sheets>
    <sheet name="Pivot Chart-1" sheetId="3" r:id="rId1"/>
    <sheet name="Pivot Chart-2" sheetId="4" r:id="rId2"/>
    <sheet name="Pivot Chart-3" sheetId="5" r:id="rId3"/>
    <sheet name="Pivot Chart-4" sheetId="6" r:id="rId4"/>
    <sheet name="Sales_Data" sheetId="1" r:id="rId5"/>
    <sheet name="Dashboard" sheetId="2" r:id="rId6"/>
  </sheet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B3" i="2"/>
</calcChain>
</file>

<file path=xl/sharedStrings.xml><?xml version="1.0" encoding="utf-8"?>
<sst xmlns="http://schemas.openxmlformats.org/spreadsheetml/2006/main" count="87" uniqueCount="29">
  <si>
    <t>Order_ID</t>
  </si>
  <si>
    <t>Date</t>
  </si>
  <si>
    <t>Product</t>
  </si>
  <si>
    <t>Category</t>
  </si>
  <si>
    <t>Region</t>
  </si>
  <si>
    <t>Quantity</t>
  </si>
  <si>
    <t>Unit_Price</t>
  </si>
  <si>
    <t>Sales</t>
  </si>
  <si>
    <t>Laptop</t>
  </si>
  <si>
    <t>Electronics</t>
  </si>
  <si>
    <t>South</t>
  </si>
  <si>
    <t>Mouse</t>
  </si>
  <si>
    <t>North</t>
  </si>
  <si>
    <t>Chair</t>
  </si>
  <si>
    <t>Furniture</t>
  </si>
  <si>
    <t>Keyboard</t>
  </si>
  <si>
    <t>East</t>
  </si>
  <si>
    <t>Desk</t>
  </si>
  <si>
    <t>West</t>
  </si>
  <si>
    <t>AVERAGE ORDER VALUE</t>
  </si>
  <si>
    <t>TOTAL SALES</t>
  </si>
  <si>
    <t>Row Labels</t>
  </si>
  <si>
    <t>Grand Total</t>
  </si>
  <si>
    <t>Sum of Sales</t>
  </si>
  <si>
    <t>Sep</t>
  </si>
  <si>
    <t>Monthly Sale Trend</t>
  </si>
  <si>
    <t>Sales By Category</t>
  </si>
  <si>
    <t>Sales By Region</t>
  </si>
  <si>
    <t>Top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</si>
</sst>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[Code_Orbit 2nd task.xlsx]Pivot Chart-1!PivotTable1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Chart-1'!$B$3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Chart-1'!$A$4:$A$6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'Pivot Chart-1'!$B$4:$B$6</c:f>
              <c:numCache>
                <c:formatCode>General</c:formatCode>
                <c:ptCount val="2"/>
                <c:pt idx="0">
                  <c:v>315900</c:v>
                </c:pt>
                <c:pt idx="1">
                  <c:v>88500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D-41FC-800D-4BF8378BD9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922544"/>
        <c:axId val="1808648240"/>
      </c:barChart>
      <c:catAx>
        <c:axId val="177492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48240"/>
        <c:crosses val="autoZero"/>
        <c:auto val="1"/>
        <c:lblAlgn val="ctr"/>
        <c:lblOffset val="100"/>
        <c:noMultiLvlLbl val="0"/>
      </c:catAx>
      <c:valAx>
        <c:axId val="18086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92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[Code_Orbit 2nd task.xlsx]Pivot Chart-2!PivotTable2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Chart-2'!$B$3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0F-4FAF-B38F-DFCD33E6B38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0F-4FAF-B38F-DFCD33E6B38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80F-4FAF-B38F-DFCD33E6B38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80F-4FAF-B38F-DFCD33E6B384}"/>
              </c:ext>
            </c:extLst>
          </c:dPt>
          <c:cat>
            <c:strRef>
              <c:f>'Pivot Chart-2'!$A$4:$A$8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Chart-2'!$B$4:$B$8</c:f>
              <c:numCache>
                <c:formatCode>General</c:formatCode>
                <c:ptCount val="4"/>
                <c:pt idx="0">
                  <c:v>132500</c:v>
                </c:pt>
                <c:pt idx="1">
                  <c:v>89400</c:v>
                </c:pt>
                <c:pt idx="2">
                  <c:v>139500</c:v>
                </c:pt>
                <c:pt idx="3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0-4E67-ABAA-3D161EE30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[Code_Orbit 2nd task.xlsx]Pivot Chart-3!PivotTable3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Chart-3'!$B$3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Chart-3'!$A$4:$A$9</c:f>
              <c:strCache>
                <c:ptCount val="5"/>
                <c:pt idx="0">
                  <c:v>Laptop</c:v>
                </c:pt>
                <c:pt idx="1">
                  <c:v>Desk</c:v>
                </c:pt>
                <c:pt idx="2">
                  <c:v>Chair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'Pivot Chart-3'!$B$4:$B$9</c:f>
              <c:numCache>
                <c:formatCode>General</c:formatCode>
                <c:ptCount val="5"/>
                <c:pt idx="0">
                  <c:v>275000</c:v>
                </c:pt>
                <c:pt idx="1">
                  <c:v>48000</c:v>
                </c:pt>
                <c:pt idx="2">
                  <c:v>40500</c:v>
                </c:pt>
                <c:pt idx="3">
                  <c:v>22500</c:v>
                </c:pt>
                <c:pt idx="4">
                  <c:v>18400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9C-4E66-B37C-0F191D394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595600"/>
        <c:axId val="1808631440"/>
      </c:barChart>
      <c:catAx>
        <c:axId val="7959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31440"/>
        <c:crosses val="autoZero"/>
        <c:auto val="1"/>
        <c:lblAlgn val="ctr"/>
        <c:lblOffset val="100"/>
        <c:noMultiLvlLbl val="0"/>
      </c:catAx>
      <c:valAx>
        <c:axId val="180863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[Code_Orbit 2nd task.xlsx]Pivot Chart-4!PivotTable4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Chart-4'!$B$3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Chart-4'!$A$4:$A$5</c:f>
              <c:strCache>
                <c:ptCount val="1"/>
                <c:pt idx="0">
                  <c:v>Sep</c:v>
                </c:pt>
              </c:strCache>
            </c:strRef>
          </c:cat>
          <c:val>
            <c:numRef>
              <c:f>'Pivot Chart-4'!$B$4:$B$5</c:f>
              <c:numCache>
                <c:formatCode>General</c:formatCode>
                <c:ptCount val="1"/>
                <c:pt idx="0">
                  <c:v>404400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85-4EED-8FC1-64269DAA8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152128"/>
        <c:axId val="1808669360"/>
      </c:lineChart>
      <c:catAx>
        <c:axId val="199215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69360"/>
        <c:crosses val="autoZero"/>
        <c:auto val="1"/>
        <c:lblAlgn val="ctr"/>
        <c:lblOffset val="100"/>
        <c:noMultiLvlLbl val="0"/>
      </c:catAx>
      <c:valAx>
        <c:axId val="18086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15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[Code_Orbit 2nd task.xlsx]Pivot Chart-1!PivotTable1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Chart-1'!$B$3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Chart-1'!$A$4:$A$6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'Pivot Chart-1'!$B$4:$B$6</c:f>
              <c:numCache>
                <c:formatCode>General</c:formatCode>
                <c:ptCount val="2"/>
                <c:pt idx="0">
                  <c:v>315900</c:v>
                </c:pt>
                <c:pt idx="1">
                  <c:v>88500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5F-4015-9653-7FDE1D8B9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4922544"/>
        <c:axId val="1808648240"/>
      </c:barChart>
      <c:catAx>
        <c:axId val="1774922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48240"/>
        <c:crosses val="autoZero"/>
        <c:auto val="1"/>
        <c:lblAlgn val="ctr"/>
        <c:lblOffset val="100"/>
        <c:noMultiLvlLbl val="0"/>
      </c:catAx>
      <c:valAx>
        <c:axId val="1808648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922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[Code_Orbit 2nd task.xlsx]Pivot Chart-2!PivotTable2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Chart-2'!$B$3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EF7-4141-916E-B08E91020A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EF7-4141-916E-B08E91020A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EF7-4141-916E-B08E91020A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EF7-4141-916E-B08E91020A61}"/>
              </c:ext>
            </c:extLst>
          </c:dPt>
          <c:cat>
            <c:strRef>
              <c:f>'Pivot Chart-2'!$A$4:$A$8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Chart-2'!$B$4:$B$8</c:f>
              <c:numCache>
                <c:formatCode>General</c:formatCode>
                <c:ptCount val="4"/>
                <c:pt idx="0">
                  <c:v>132500</c:v>
                </c:pt>
                <c:pt idx="1">
                  <c:v>89400</c:v>
                </c:pt>
                <c:pt idx="2">
                  <c:v>139500</c:v>
                </c:pt>
                <c:pt idx="3">
                  <c:v>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EF7-4141-916E-B08E91020A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[Code_Orbit 2nd task.xlsx]Pivot Chart-3!PivotTable3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Chart-3'!$B$3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Chart-3'!$A$4:$A$9</c:f>
              <c:strCache>
                <c:ptCount val="5"/>
                <c:pt idx="0">
                  <c:v>Laptop</c:v>
                </c:pt>
                <c:pt idx="1">
                  <c:v>Desk</c:v>
                </c:pt>
                <c:pt idx="2">
                  <c:v>Chair</c:v>
                </c:pt>
                <c:pt idx="3">
                  <c:v>Keyboard</c:v>
                </c:pt>
                <c:pt idx="4">
                  <c:v>Mouse</c:v>
                </c:pt>
              </c:strCache>
            </c:strRef>
          </c:cat>
          <c:val>
            <c:numRef>
              <c:f>'Pivot Chart-3'!$B$4:$B$9</c:f>
              <c:numCache>
                <c:formatCode>General</c:formatCode>
                <c:ptCount val="5"/>
                <c:pt idx="0">
                  <c:v>275000</c:v>
                </c:pt>
                <c:pt idx="1">
                  <c:v>48000</c:v>
                </c:pt>
                <c:pt idx="2">
                  <c:v>40500</c:v>
                </c:pt>
                <c:pt idx="3">
                  <c:v>22500</c:v>
                </c:pt>
                <c:pt idx="4">
                  <c:v>18400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8B-4B17-BB94-DE233AE58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595600"/>
        <c:axId val="1808631440"/>
      </c:barChart>
      <c:catAx>
        <c:axId val="7959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31440"/>
        <c:crosses val="autoZero"/>
        <c:auto val="1"/>
        <c:lblAlgn val="ctr"/>
        <c:lblOffset val="100"/>
        <c:noMultiLvlLbl val="0"/>
      </c:catAx>
      <c:valAx>
        <c:axId val="1808631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[Code_Orbit 2nd task.xlsx]Pivot Chart-4!PivotTable4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Chart-4'!$B$3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Chart-4'!$A$4:$A$5</c:f>
              <c:strCache>
                <c:ptCount val="1"/>
                <c:pt idx="0">
                  <c:v>Sep</c:v>
                </c:pt>
              </c:strCache>
            </c:strRef>
          </c:cat>
          <c:val>
            <c:numRef>
              <c:f>'Pivot Chart-4'!$B$4:$B$5</c:f>
              <c:numCache>
                <c:formatCode>General</c:formatCode>
                <c:ptCount val="1"/>
                <c:pt idx="0">
                  <c:v>404400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E6-486C-8351-7F296E2082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152128"/>
        <c:axId val="1808669360"/>
      </c:lineChart>
      <c:catAx>
        <c:axId val="1992152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69360"/>
        <c:crosses val="autoZero"/>
        <c:auto val="1"/>
        <c:lblAlgn val="ctr"/>
        <c:lblOffset val="100"/>
        <c:noMultiLvlLbl val="0"/>
      </c:catAx>
      <c:valAx>
        <c:axId val="180866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2152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748E2E-DCF2-BB69-426F-3EC9070CC0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F02F2A-0172-D3B0-23A4-26D7788D52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6</xdr:row>
      <xdr:rowOff>41910</xdr:rowOff>
    </xdr:from>
    <xdr:to>
      <xdr:col>11</xdr:col>
      <xdr:colOff>556260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4B1BD9-8437-645A-D160-B2080B973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525780</xdr:colOff>
      <xdr:row>6</xdr:row>
      <xdr:rowOff>41910</xdr:rowOff>
    </xdr:from>
    <xdr:to>
      <xdr:col>14</xdr:col>
      <xdr:colOff>106680</xdr:colOff>
      <xdr:row>21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B87342-946C-0754-8DD5-4B1963472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8</xdr:col>
      <xdr:colOff>53340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E5D5F4-4123-4336-BB54-CF7765963C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10</xdr:row>
      <xdr:rowOff>0</xdr:rowOff>
    </xdr:from>
    <xdr:to>
      <xdr:col>16</xdr:col>
      <xdr:colOff>304800</xdr:colOff>
      <xdr:row>25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B210B8-BCDA-452C-ADCA-A31338EEF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8</xdr:col>
      <xdr:colOff>50800</xdr:colOff>
      <xdr:row>44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D5E7B7-701A-4A8B-ADAD-2A9CBB467C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18</xdr:col>
      <xdr:colOff>190500</xdr:colOff>
      <xdr:row>44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AB258B-BCD5-49E9-BDAF-1EE7EC372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shan ganiga" refreshedDate="46298.571551851855" createdVersion="8" refreshedVersion="8" minRefreshableVersion="3" recordCount="15" xr:uid="{970F3BA8-5051-48FF-BF71-1EC4895A7BE9}">
  <cacheSource type="worksheet">
    <worksheetSource name="Table1"/>
  </cacheSource>
  <cacheFields count="9">
    <cacheField name="Order_ID" numFmtId="0">
      <sharedItems containsSemiMixedTypes="0" containsString="0" containsNumber="1" containsInteger="1" minValue="1001" maxValue="1015"/>
    </cacheField>
    <cacheField name="Date" numFmtId="14">
      <sharedItems containsSemiMixedTypes="0" containsNonDate="0" containsDate="1" containsString="0" minDate="2026-09-01T00:00:00" maxDate="2026-09-16T00:00:00" count="15"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</sharedItems>
      <fieldGroup par="8"/>
    </cacheField>
    <cacheField name="Product" numFmtId="0">
      <sharedItems count="5">
        <s v="Laptop"/>
        <s v="Mouse"/>
        <s v="Chair"/>
        <s v="Keyboard"/>
        <s v="Desk"/>
      </sharedItems>
    </cacheField>
    <cacheField name="Category" numFmtId="0">
      <sharedItems count="2">
        <s v="Electronics"/>
        <s v="Furniture"/>
      </sharedItems>
    </cacheField>
    <cacheField name="Region" numFmtId="0">
      <sharedItems count="4">
        <s v="South"/>
        <s v="North"/>
        <s v="East"/>
        <s v="West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800" maxValue="55000"/>
    </cacheField>
    <cacheField name="Sales" numFmtId="0">
      <sharedItems containsSemiMixedTypes="0" containsString="0" containsNumber="1" containsInteger="1" minValue="4000" maxValue="110000"/>
    </cacheField>
    <cacheField name="Months (Date)" numFmtId="0" databaseField="0">
      <fieldGroup base="1">
        <rangePr groupBy="months" startDate="2026-09-01T00:00:00" endDate="2026-09-16T00:00:00"/>
        <groupItems count="14">
          <s v="&lt;01-09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9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001"/>
    <x v="0"/>
    <x v="0"/>
    <x v="0"/>
    <x v="0"/>
    <n v="2"/>
    <n v="55000"/>
    <n v="110000"/>
  </r>
  <r>
    <n v="1002"/>
    <x v="1"/>
    <x v="1"/>
    <x v="0"/>
    <x v="1"/>
    <n v="5"/>
    <n v="800"/>
    <n v="4000"/>
  </r>
  <r>
    <n v="1003"/>
    <x v="2"/>
    <x v="2"/>
    <x v="1"/>
    <x v="0"/>
    <n v="3"/>
    <n v="4500"/>
    <n v="13500"/>
  </r>
  <r>
    <n v="1004"/>
    <x v="3"/>
    <x v="3"/>
    <x v="0"/>
    <x v="2"/>
    <n v="4"/>
    <n v="1500"/>
    <n v="6000"/>
  </r>
  <r>
    <n v="1005"/>
    <x v="4"/>
    <x v="4"/>
    <x v="1"/>
    <x v="3"/>
    <n v="2"/>
    <n v="8000"/>
    <n v="16000"/>
  </r>
  <r>
    <n v="1006"/>
    <x v="5"/>
    <x v="0"/>
    <x v="0"/>
    <x v="1"/>
    <n v="1"/>
    <n v="55000"/>
    <n v="55000"/>
  </r>
  <r>
    <n v="1007"/>
    <x v="6"/>
    <x v="1"/>
    <x v="0"/>
    <x v="0"/>
    <n v="10"/>
    <n v="800"/>
    <n v="8000"/>
  </r>
  <r>
    <n v="1008"/>
    <x v="7"/>
    <x v="2"/>
    <x v="1"/>
    <x v="2"/>
    <n v="2"/>
    <n v="4500"/>
    <n v="9000"/>
  </r>
  <r>
    <n v="1009"/>
    <x v="8"/>
    <x v="4"/>
    <x v="1"/>
    <x v="1"/>
    <n v="3"/>
    <n v="8000"/>
    <n v="24000"/>
  </r>
  <r>
    <n v="1010"/>
    <x v="9"/>
    <x v="3"/>
    <x v="0"/>
    <x v="3"/>
    <n v="6"/>
    <n v="1500"/>
    <n v="9000"/>
  </r>
  <r>
    <n v="1011"/>
    <x v="10"/>
    <x v="0"/>
    <x v="0"/>
    <x v="2"/>
    <n v="2"/>
    <n v="55000"/>
    <n v="110000"/>
  </r>
  <r>
    <n v="1012"/>
    <x v="11"/>
    <x v="2"/>
    <x v="1"/>
    <x v="3"/>
    <n v="4"/>
    <n v="4500"/>
    <n v="18000"/>
  </r>
  <r>
    <n v="1013"/>
    <x v="12"/>
    <x v="1"/>
    <x v="0"/>
    <x v="1"/>
    <n v="8"/>
    <n v="800"/>
    <n v="6400"/>
  </r>
  <r>
    <n v="1014"/>
    <x v="13"/>
    <x v="4"/>
    <x v="1"/>
    <x v="0"/>
    <n v="1"/>
    <n v="8000"/>
    <n v="8000"/>
  </r>
  <r>
    <n v="1015"/>
    <x v="14"/>
    <x v="3"/>
    <x v="0"/>
    <x v="2"/>
    <n v="5"/>
    <n v="1500"/>
    <n v="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EA6DB1-BF58-4B16-A2F0-E870FAC2537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6" firstHeaderRow="1" firstDataRow="1" firstDataCol="1"/>
  <pivotFields count="9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CF5B4A-1865-465B-A93C-F1CA8868ADE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9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6F7C6-34FA-462F-845D-21B28E5F659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9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showAll="0" sortType="descending">
      <items count="6">
        <item x="2"/>
        <item x="4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 v="3"/>
    </i>
    <i>
      <x v="1"/>
    </i>
    <i>
      <x/>
    </i>
    <i>
      <x v="2"/>
    </i>
    <i>
      <x v="4"/>
    </i>
    <i t="grand">
      <x/>
    </i>
  </rowItems>
  <colItems count="1">
    <i/>
  </colItems>
  <dataFields count="1">
    <dataField name="Sum of Sales" fld="7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58108F-66C5-43D1-992B-C05FAB91A98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5" firstHeaderRow="1" firstDataRow="1" firstDataCol="1"/>
  <pivotFields count="9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/>
    <pivotField showAll="0"/>
    <pivotField showAll="0"/>
    <pivotField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2">
    <i>
      <x v="9"/>
    </i>
    <i t="grand">
      <x/>
    </i>
  </rowItems>
  <colItems count="1">
    <i/>
  </colItems>
  <dataFields count="1">
    <dataField name="Sum of Sales" fld="7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3AA63A-E453-40C9-AD46-B8901E837E6A}" name="Table1" displayName="Table1" ref="A1:H16" totalsRowShown="0" headerRowDxfId="9" dataDxfId="8">
  <autoFilter ref="A1:H16" xr:uid="{733AA63A-E453-40C9-AD46-B8901E837E6A}"/>
  <tableColumns count="8">
    <tableColumn id="1" xr3:uid="{68EBFAA5-BFB8-4B6E-B900-51AD3634031F}" name="Order_ID" dataDxfId="7"/>
    <tableColumn id="2" xr3:uid="{2371C0BD-6B37-473F-A0AC-0AC8A02CF1E0}" name="Date" dataDxfId="6"/>
    <tableColumn id="3" xr3:uid="{62C2F6A1-4811-447A-94BC-CC7A031EFAE4}" name="Product" dataDxfId="5"/>
    <tableColumn id="4" xr3:uid="{4B95A4E3-FD3E-42B0-AB13-8D3B8EBF056F}" name="Category" dataDxfId="4"/>
    <tableColumn id="5" xr3:uid="{C4F96972-F08A-4A9B-9BA8-6E55812CB027}" name="Region" dataDxfId="3"/>
    <tableColumn id="6" xr3:uid="{50E563D7-603B-4272-9CD0-493B07450FC9}" name="Quantity" dataDxfId="2"/>
    <tableColumn id="7" xr3:uid="{1DFA70BE-BA55-4FCE-AB0B-5018E14072D7}" name="Unit_Price" dataDxfId="1"/>
    <tableColumn id="8" xr3:uid="{0C140006-C719-4B8C-9602-914E2B902E29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3D2AA-0829-4B98-94E2-67680153DB82}">
  <dimension ref="A3:G6"/>
  <sheetViews>
    <sheetView workbookViewId="0">
      <selection activeCell="G5" sqref="G5:J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7" x14ac:dyDescent="0.3">
      <c r="A3" s="5" t="s">
        <v>21</v>
      </c>
      <c r="B3" t="s">
        <v>23</v>
      </c>
    </row>
    <row r="4" spans="1:7" x14ac:dyDescent="0.3">
      <c r="A4" s="6" t="s">
        <v>9</v>
      </c>
      <c r="B4">
        <v>315900</v>
      </c>
    </row>
    <row r="5" spans="1:7" ht="31.2" x14ac:dyDescent="0.6">
      <c r="A5" s="6" t="s">
        <v>14</v>
      </c>
      <c r="B5">
        <v>88500</v>
      </c>
      <c r="G5" s="8" t="s">
        <v>26</v>
      </c>
    </row>
    <row r="6" spans="1:7" x14ac:dyDescent="0.3">
      <c r="A6" s="6" t="s">
        <v>22</v>
      </c>
      <c r="B6">
        <v>404400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DC47-832B-41B8-8752-80D8B171B480}">
  <dimension ref="A3:G8"/>
  <sheetViews>
    <sheetView workbookViewId="0">
      <selection activeCell="G5" sqref="G5:J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7" x14ac:dyDescent="0.3">
      <c r="A3" s="5" t="s">
        <v>21</v>
      </c>
      <c r="B3" t="s">
        <v>23</v>
      </c>
    </row>
    <row r="4" spans="1:7" x14ac:dyDescent="0.3">
      <c r="A4" s="6" t="s">
        <v>16</v>
      </c>
      <c r="B4">
        <v>132500</v>
      </c>
    </row>
    <row r="5" spans="1:7" ht="31.2" x14ac:dyDescent="0.6">
      <c r="A5" s="6" t="s">
        <v>12</v>
      </c>
      <c r="B5">
        <v>89400</v>
      </c>
      <c r="G5" s="8" t="s">
        <v>27</v>
      </c>
    </row>
    <row r="6" spans="1:7" x14ac:dyDescent="0.3">
      <c r="A6" s="6" t="s">
        <v>10</v>
      </c>
      <c r="B6">
        <v>139500</v>
      </c>
    </row>
    <row r="7" spans="1:7" x14ac:dyDescent="0.3">
      <c r="A7" s="6" t="s">
        <v>18</v>
      </c>
      <c r="B7">
        <v>43000</v>
      </c>
    </row>
    <row r="8" spans="1:7" x14ac:dyDescent="0.3">
      <c r="A8" s="6" t="s">
        <v>22</v>
      </c>
      <c r="B8">
        <v>404400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CA3C1-835D-4F3C-B0DC-DB7410D6A154}">
  <dimension ref="A3:J9"/>
  <sheetViews>
    <sheetView workbookViewId="0">
      <selection activeCell="H5" sqref="H5:J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10" x14ac:dyDescent="0.3">
      <c r="A3" s="5" t="s">
        <v>21</v>
      </c>
      <c r="B3" t="s">
        <v>23</v>
      </c>
    </row>
    <row r="4" spans="1:10" x14ac:dyDescent="0.3">
      <c r="A4" s="6" t="s">
        <v>8</v>
      </c>
      <c r="B4">
        <v>275000</v>
      </c>
    </row>
    <row r="5" spans="1:10" ht="28.8" x14ac:dyDescent="0.55000000000000004">
      <c r="A5" s="6" t="s">
        <v>17</v>
      </c>
      <c r="B5">
        <v>48000</v>
      </c>
      <c r="H5" s="11" t="s">
        <v>28</v>
      </c>
      <c r="I5" s="3"/>
      <c r="J5" s="3"/>
    </row>
    <row r="6" spans="1:10" x14ac:dyDescent="0.3">
      <c r="A6" s="6" t="s">
        <v>13</v>
      </c>
      <c r="B6">
        <v>40500</v>
      </c>
    </row>
    <row r="7" spans="1:10" x14ac:dyDescent="0.3">
      <c r="A7" s="6" t="s">
        <v>15</v>
      </c>
      <c r="B7">
        <v>22500</v>
      </c>
    </row>
    <row r="8" spans="1:10" x14ac:dyDescent="0.3">
      <c r="A8" s="6" t="s">
        <v>11</v>
      </c>
      <c r="B8">
        <v>18400</v>
      </c>
    </row>
    <row r="9" spans="1:10" x14ac:dyDescent="0.3">
      <c r="A9" s="6" t="s">
        <v>22</v>
      </c>
      <c r="B9">
        <v>404400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0A416-F61E-4B39-82F7-9B8CE6A04D4D}">
  <dimension ref="A3:I6"/>
  <sheetViews>
    <sheetView workbookViewId="0">
      <selection activeCell="H6" sqref="H6:L6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2.6640625" bestFit="1" customWidth="1"/>
  </cols>
  <sheetData>
    <row r="3" spans="1:9" x14ac:dyDescent="0.3">
      <c r="A3" s="5" t="s">
        <v>21</v>
      </c>
      <c r="B3" t="s">
        <v>23</v>
      </c>
    </row>
    <row r="4" spans="1:9" x14ac:dyDescent="0.3">
      <c r="A4" s="6" t="s">
        <v>24</v>
      </c>
      <c r="B4">
        <v>404400</v>
      </c>
    </row>
    <row r="5" spans="1:9" ht="33.6" x14ac:dyDescent="0.65">
      <c r="A5" s="6" t="s">
        <v>22</v>
      </c>
      <c r="B5">
        <v>404400</v>
      </c>
      <c r="H5" s="7"/>
      <c r="I5" s="7"/>
    </row>
    <row r="6" spans="1:9" ht="33.6" x14ac:dyDescent="0.65">
      <c r="H6" s="7" t="s">
        <v>25</v>
      </c>
      <c r="I6" s="7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68D70-D441-4FD3-9F19-470BC631C53C}">
  <dimension ref="A1:H16"/>
  <sheetViews>
    <sheetView workbookViewId="0">
      <selection activeCell="E16" sqref="E16"/>
    </sheetView>
  </sheetViews>
  <sheetFormatPr defaultRowHeight="14.4" x14ac:dyDescent="0.3"/>
  <cols>
    <col min="1" max="1" width="10.44140625" customWidth="1"/>
    <col min="2" max="2" width="10.33203125" bestFit="1" customWidth="1"/>
    <col min="3" max="3" width="9.5546875" customWidth="1"/>
    <col min="4" max="4" width="10.44140625" customWidth="1"/>
    <col min="6" max="6" width="10.21875" customWidth="1"/>
    <col min="7" max="7" width="11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1001</v>
      </c>
      <c r="B2" s="2">
        <v>46266</v>
      </c>
      <c r="C2" s="1" t="s">
        <v>8</v>
      </c>
      <c r="D2" s="1" t="s">
        <v>9</v>
      </c>
      <c r="E2" s="1" t="s">
        <v>10</v>
      </c>
      <c r="F2" s="1">
        <v>2</v>
      </c>
      <c r="G2" s="1">
        <v>55000</v>
      </c>
      <c r="H2" s="1">
        <v>110000</v>
      </c>
    </row>
    <row r="3" spans="1:8" x14ac:dyDescent="0.3">
      <c r="A3" s="1">
        <v>1002</v>
      </c>
      <c r="B3" s="2">
        <v>46267</v>
      </c>
      <c r="C3" s="1" t="s">
        <v>11</v>
      </c>
      <c r="D3" s="1" t="s">
        <v>9</v>
      </c>
      <c r="E3" s="1" t="s">
        <v>12</v>
      </c>
      <c r="F3" s="1">
        <v>5</v>
      </c>
      <c r="G3" s="1">
        <v>800</v>
      </c>
      <c r="H3" s="1">
        <v>4000</v>
      </c>
    </row>
    <row r="4" spans="1:8" x14ac:dyDescent="0.3">
      <c r="A4" s="1">
        <v>1003</v>
      </c>
      <c r="B4" s="2">
        <v>46268</v>
      </c>
      <c r="C4" s="1" t="s">
        <v>13</v>
      </c>
      <c r="D4" s="1" t="s">
        <v>14</v>
      </c>
      <c r="E4" s="1" t="s">
        <v>10</v>
      </c>
      <c r="F4" s="1">
        <v>3</v>
      </c>
      <c r="G4" s="1">
        <v>4500</v>
      </c>
      <c r="H4" s="1">
        <v>13500</v>
      </c>
    </row>
    <row r="5" spans="1:8" x14ac:dyDescent="0.3">
      <c r="A5" s="1">
        <v>1004</v>
      </c>
      <c r="B5" s="2">
        <v>46269</v>
      </c>
      <c r="C5" s="1" t="s">
        <v>15</v>
      </c>
      <c r="D5" s="1" t="s">
        <v>9</v>
      </c>
      <c r="E5" s="1" t="s">
        <v>16</v>
      </c>
      <c r="F5" s="1">
        <v>4</v>
      </c>
      <c r="G5" s="1">
        <v>1500</v>
      </c>
      <c r="H5" s="1">
        <v>6000</v>
      </c>
    </row>
    <row r="6" spans="1:8" x14ac:dyDescent="0.3">
      <c r="A6" s="1">
        <v>1005</v>
      </c>
      <c r="B6" s="2">
        <v>46270</v>
      </c>
      <c r="C6" s="1" t="s">
        <v>17</v>
      </c>
      <c r="D6" s="1" t="s">
        <v>14</v>
      </c>
      <c r="E6" s="1" t="s">
        <v>18</v>
      </c>
      <c r="F6" s="1">
        <v>2</v>
      </c>
      <c r="G6" s="1">
        <v>8000</v>
      </c>
      <c r="H6" s="1">
        <v>16000</v>
      </c>
    </row>
    <row r="7" spans="1:8" x14ac:dyDescent="0.3">
      <c r="A7" s="1">
        <v>1006</v>
      </c>
      <c r="B7" s="2">
        <v>46271</v>
      </c>
      <c r="C7" s="1" t="s">
        <v>8</v>
      </c>
      <c r="D7" s="1" t="s">
        <v>9</v>
      </c>
      <c r="E7" s="1" t="s">
        <v>12</v>
      </c>
      <c r="F7" s="1">
        <v>1</v>
      </c>
      <c r="G7" s="1">
        <v>55000</v>
      </c>
      <c r="H7" s="1">
        <v>55000</v>
      </c>
    </row>
    <row r="8" spans="1:8" x14ac:dyDescent="0.3">
      <c r="A8" s="1">
        <v>1007</v>
      </c>
      <c r="B8" s="2">
        <v>46272</v>
      </c>
      <c r="C8" s="1" t="s">
        <v>11</v>
      </c>
      <c r="D8" s="1" t="s">
        <v>9</v>
      </c>
      <c r="E8" s="1" t="s">
        <v>10</v>
      </c>
      <c r="F8" s="1">
        <v>10</v>
      </c>
      <c r="G8" s="1">
        <v>800</v>
      </c>
      <c r="H8" s="1">
        <v>8000</v>
      </c>
    </row>
    <row r="9" spans="1:8" x14ac:dyDescent="0.3">
      <c r="A9" s="1">
        <v>1008</v>
      </c>
      <c r="B9" s="2">
        <v>46273</v>
      </c>
      <c r="C9" s="1" t="s">
        <v>13</v>
      </c>
      <c r="D9" s="1" t="s">
        <v>14</v>
      </c>
      <c r="E9" s="1" t="s">
        <v>16</v>
      </c>
      <c r="F9" s="1">
        <v>2</v>
      </c>
      <c r="G9" s="1">
        <v>4500</v>
      </c>
      <c r="H9" s="1">
        <v>9000</v>
      </c>
    </row>
    <row r="10" spans="1:8" x14ac:dyDescent="0.3">
      <c r="A10" s="1">
        <v>1009</v>
      </c>
      <c r="B10" s="2">
        <v>46274</v>
      </c>
      <c r="C10" s="1" t="s">
        <v>17</v>
      </c>
      <c r="D10" s="1" t="s">
        <v>14</v>
      </c>
      <c r="E10" s="1" t="s">
        <v>12</v>
      </c>
      <c r="F10" s="1">
        <v>3</v>
      </c>
      <c r="G10" s="1">
        <v>8000</v>
      </c>
      <c r="H10" s="1">
        <v>24000</v>
      </c>
    </row>
    <row r="11" spans="1:8" x14ac:dyDescent="0.3">
      <c r="A11" s="1">
        <v>1010</v>
      </c>
      <c r="B11" s="2">
        <v>46275</v>
      </c>
      <c r="C11" s="1" t="s">
        <v>15</v>
      </c>
      <c r="D11" s="1" t="s">
        <v>9</v>
      </c>
      <c r="E11" s="1" t="s">
        <v>18</v>
      </c>
      <c r="F11" s="1">
        <v>6</v>
      </c>
      <c r="G11" s="1">
        <v>1500</v>
      </c>
      <c r="H11" s="1">
        <v>9000</v>
      </c>
    </row>
    <row r="12" spans="1:8" x14ac:dyDescent="0.3">
      <c r="A12" s="1">
        <v>1011</v>
      </c>
      <c r="B12" s="2">
        <v>46276</v>
      </c>
      <c r="C12" s="1" t="s">
        <v>8</v>
      </c>
      <c r="D12" s="1" t="s">
        <v>9</v>
      </c>
      <c r="E12" s="1" t="s">
        <v>16</v>
      </c>
      <c r="F12" s="1">
        <v>2</v>
      </c>
      <c r="G12" s="1">
        <v>55000</v>
      </c>
      <c r="H12" s="1">
        <v>110000</v>
      </c>
    </row>
    <row r="13" spans="1:8" x14ac:dyDescent="0.3">
      <c r="A13" s="1">
        <v>1012</v>
      </c>
      <c r="B13" s="2">
        <v>46277</v>
      </c>
      <c r="C13" s="1" t="s">
        <v>13</v>
      </c>
      <c r="D13" s="1" t="s">
        <v>14</v>
      </c>
      <c r="E13" s="1" t="s">
        <v>18</v>
      </c>
      <c r="F13" s="1">
        <v>4</v>
      </c>
      <c r="G13" s="1">
        <v>4500</v>
      </c>
      <c r="H13" s="1">
        <v>18000</v>
      </c>
    </row>
    <row r="14" spans="1:8" x14ac:dyDescent="0.3">
      <c r="A14" s="1">
        <v>1013</v>
      </c>
      <c r="B14" s="2">
        <v>46278</v>
      </c>
      <c r="C14" s="1" t="s">
        <v>11</v>
      </c>
      <c r="D14" s="1" t="s">
        <v>9</v>
      </c>
      <c r="E14" s="1" t="s">
        <v>12</v>
      </c>
      <c r="F14" s="1">
        <v>8</v>
      </c>
      <c r="G14" s="1">
        <v>800</v>
      </c>
      <c r="H14" s="1">
        <v>6400</v>
      </c>
    </row>
    <row r="15" spans="1:8" x14ac:dyDescent="0.3">
      <c r="A15" s="1">
        <v>1014</v>
      </c>
      <c r="B15" s="2">
        <v>46279</v>
      </c>
      <c r="C15" s="1" t="s">
        <v>17</v>
      </c>
      <c r="D15" s="1" t="s">
        <v>14</v>
      </c>
      <c r="E15" s="1" t="s">
        <v>10</v>
      </c>
      <c r="F15" s="1">
        <v>1</v>
      </c>
      <c r="G15" s="1">
        <v>8000</v>
      </c>
      <c r="H15" s="1">
        <v>8000</v>
      </c>
    </row>
    <row r="16" spans="1:8" x14ac:dyDescent="0.3">
      <c r="A16" s="1">
        <v>1015</v>
      </c>
      <c r="B16" s="2">
        <v>46280</v>
      </c>
      <c r="C16" s="1" t="s">
        <v>15</v>
      </c>
      <c r="D16" s="1" t="s">
        <v>9</v>
      </c>
      <c r="E16" s="1" t="s">
        <v>16</v>
      </c>
      <c r="F16" s="1">
        <v>5</v>
      </c>
      <c r="G16" s="1">
        <v>1500</v>
      </c>
      <c r="H16" s="1">
        <v>7500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11FEC-AC4F-415D-A218-1DE20057702F}">
  <dimension ref="B2:M28"/>
  <sheetViews>
    <sheetView tabSelected="1" topLeftCell="A3" workbookViewId="0">
      <selection activeCell="I6" sqref="I6"/>
    </sheetView>
  </sheetViews>
  <sheetFormatPr defaultRowHeight="14.4" x14ac:dyDescent="0.3"/>
  <cols>
    <col min="2" max="2" width="10.5546875" bestFit="1" customWidth="1"/>
    <col min="5" max="5" width="10.88671875" bestFit="1" customWidth="1"/>
  </cols>
  <sheetData>
    <row r="2" spans="2:12" ht="15.6" x14ac:dyDescent="0.3">
      <c r="B2" s="9" t="s">
        <v>20</v>
      </c>
      <c r="E2" s="4" t="s">
        <v>19</v>
      </c>
      <c r="F2" s="3"/>
      <c r="G2" s="3"/>
    </row>
    <row r="3" spans="2:12" ht="21" x14ac:dyDescent="0.4">
      <c r="B3" s="10">
        <f>SUM(Sales_Data!H2:H16)</f>
        <v>404400</v>
      </c>
      <c r="E3" s="10">
        <f>AVERAGE(Sales_Data!H2:H16)</f>
        <v>26960</v>
      </c>
    </row>
    <row r="9" spans="2:12" ht="31.2" x14ac:dyDescent="0.6">
      <c r="D9" s="8" t="s">
        <v>26</v>
      </c>
      <c r="L9" s="8" t="s">
        <v>27</v>
      </c>
    </row>
    <row r="28" spans="4:13" ht="33.6" x14ac:dyDescent="0.65">
      <c r="D28" s="11" t="s">
        <v>28</v>
      </c>
      <c r="E28" s="3"/>
      <c r="F28" s="3"/>
      <c r="L28" s="7" t="s">
        <v>25</v>
      </c>
      <c r="M28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Chart-1</vt:lpstr>
      <vt:lpstr>Pivot Chart-2</vt:lpstr>
      <vt:lpstr>Pivot Chart-3</vt:lpstr>
      <vt:lpstr>Pivot Chart-4</vt:lpstr>
      <vt:lpstr>Sales_Data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ganiga</dc:creator>
  <cp:lastModifiedBy>darshan ganiga</cp:lastModifiedBy>
  <dcterms:created xsi:type="dcterms:W3CDTF">2026-10-03T07:54:27Z</dcterms:created>
  <dcterms:modified xsi:type="dcterms:W3CDTF">2026-10-11T15:02:54Z</dcterms:modified>
</cp:coreProperties>
</file>